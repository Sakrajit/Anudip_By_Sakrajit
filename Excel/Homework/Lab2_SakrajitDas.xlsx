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nudip\Excel\"/>
    </mc:Choice>
  </mc:AlternateContent>
  <xr:revisionPtr revIDLastSave="0" documentId="13_ncr:1_{6DAA64AC-6687-475A-A9EA-F07367EDD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L3" i="1"/>
  <c r="L4" i="1"/>
  <c r="L5" i="1"/>
  <c r="L6" i="1"/>
  <c r="L7" i="1"/>
  <c r="L2" i="1"/>
  <c r="H2" i="1"/>
  <c r="G3" i="1"/>
  <c r="G4" i="1"/>
  <c r="G5" i="1"/>
  <c r="G6" i="1"/>
  <c r="G7" i="1"/>
  <c r="G2" i="1"/>
  <c r="K7" i="1"/>
  <c r="J7" i="1"/>
  <c r="I7" i="1"/>
  <c r="H7" i="1"/>
  <c r="F7" i="1"/>
  <c r="K6" i="1"/>
  <c r="J6" i="1"/>
  <c r="I6" i="1"/>
  <c r="H6" i="1"/>
  <c r="F6" i="1"/>
  <c r="K5" i="1"/>
  <c r="J5" i="1"/>
  <c r="I5" i="1"/>
  <c r="H5" i="1"/>
  <c r="F5" i="1"/>
  <c r="K4" i="1"/>
  <c r="J4" i="1"/>
  <c r="I4" i="1"/>
  <c r="H4" i="1"/>
  <c r="F4" i="1"/>
  <c r="K3" i="1"/>
  <c r="J3" i="1"/>
  <c r="I3" i="1"/>
  <c r="H3" i="1"/>
  <c r="F3" i="1"/>
  <c r="K2" i="1"/>
  <c r="J2" i="1"/>
  <c r="I2" i="1"/>
  <c r="F2" i="1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<sst xmlns="http://schemas.openxmlformats.org/spreadsheetml/2006/main" count="25" uniqueCount="23">
  <si>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</si>
  <si>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</si>
  <si>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</si>
  <si>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</si>
  <si>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</si>
  <si>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Target Status</t>
  </si>
  <si>
    <t>Regional Bonus</t>
  </si>
  <si>
    <t>Commission Rate</t>
  </si>
  <si>
    <t>Bonus Amount</t>
  </si>
  <si>
    <t>Performance</t>
  </si>
  <si>
    <t>Price Tier</t>
  </si>
  <si>
    <t>Year-End Bonus</t>
  </si>
  <si>
    <t>High Performer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</si>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</sst>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M2" sqref="M2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5.21875" bestFit="1" customWidth="1"/>
    <col min="4" max="4" width="6.33203125" bestFit="1" customWidth="1"/>
    <col min="5" max="5" width="6.77734375" bestFit="1" customWidth="1"/>
    <col min="6" max="6" width="13.6640625" bestFit="1" customWidth="1"/>
    <col min="7" max="7" width="14" bestFit="1" customWidth="1"/>
    <col min="8" max="8" width="15.5546875" bestFit="1" customWidth="1"/>
    <col min="9" max="9" width="13.6640625" bestFit="1" customWidth="1"/>
    <col min="10" max="10" width="17.77734375" bestFit="1" customWidth="1"/>
    <col min="11" max="11" width="8.6640625" bestFit="1" customWidth="1"/>
    <col min="12" max="12" width="14.33203125" bestFit="1" customWidth="1"/>
    <col min="13" max="13" width="17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101</v>
      </c>
      <c r="B2" s="1" t="s">
        <v>13</v>
      </c>
      <c r="C2" s="1">
        <v>120</v>
      </c>
      <c r="D2" s="1">
        <v>150</v>
      </c>
      <c r="E2" s="1" t="s">
        <v>14</v>
      </c>
      <c r="F2" s="1" t="str">
        <f t="shared" ref="F2:F7" si="0">IF(C2&gt;=D2,"Target Met","Target Not Met")</f>
        <v>Target Not Met</v>
      </c>
      <c r="G2" s="1" t="str">
        <f>IF(E2="North",IF(C2&gt;200,"Eligible","Not Eligible"),"Not Eligible")</f>
        <v>Not Eligible</v>
      </c>
      <c r="H2" s="1">
        <f>IF(C2&gt;=200,10%,IF(C2&gt;=150,7%,5%))</f>
        <v>0.05</v>
      </c>
      <c r="I2" s="1">
        <f t="shared" ref="I2:I7" si="1">IF(C2&gt;=D2,C2*10%,C2*5%)</f>
        <v>6</v>
      </c>
      <c r="J2" s="1" t="str">
        <f t="shared" ref="J2:J7" si="2">IF(C2&gt;=200,"Excellent",IF(C2&gt;=150,"Good","Needs Improvement"))</f>
        <v>Needs Improvement</v>
      </c>
      <c r="K2" s="1" t="str">
        <f t="shared" ref="K2:K7" si="3">IF(C2&gt;200,"High",IF(C2&gt;=100,"Medium","Low"))</f>
        <v>Medium</v>
      </c>
      <c r="L2" s="1">
        <f>IF(E2="North",IF(C2&gt;=150,500,300),300)</f>
        <v>300</v>
      </c>
      <c r="M2" s="1" t="str">
        <f>IF(C2&gt;=PERCENTILE($C$2:$C$7,0.75),"High Performer","Low Performer")</f>
        <v>Low Performer</v>
      </c>
    </row>
    <row r="3" spans="1:13" x14ac:dyDescent="0.3">
      <c r="A3" s="1">
        <v>102</v>
      </c>
      <c r="B3" s="1" t="s">
        <v>15</v>
      </c>
      <c r="C3" s="1">
        <v>150</v>
      </c>
      <c r="D3" s="1">
        <v>140</v>
      </c>
      <c r="E3" s="1" t="s">
        <v>16</v>
      </c>
      <c r="F3" s="1" t="str">
        <f t="shared" si="0"/>
        <v>Target Met</v>
      </c>
      <c r="G3" s="1" t="str">
        <f t="shared" ref="G3:G7" si="4">IF(E3="North",IF(C3&gt;200,"Eligible","Not Eligible"),"Not Eligible")</f>
        <v>Not Eligible</v>
      </c>
      <c r="H3" s="1">
        <f t="shared" ref="H3:H7" si="5">IF(C3&gt;=200,10%,IF(C3&gt;=150,7%,5%))</f>
        <v>7.0000000000000007E-2</v>
      </c>
      <c r="I3" s="1">
        <f t="shared" si="1"/>
        <v>15</v>
      </c>
      <c r="J3" s="1" t="str">
        <f t="shared" si="2"/>
        <v>Good</v>
      </c>
      <c r="K3" s="1" t="str">
        <f t="shared" si="3"/>
        <v>Medium</v>
      </c>
      <c r="L3" s="1">
        <f t="shared" ref="L3:L7" si="6">IF(E3="North",IF(C3&gt;=150,500,300),300)</f>
        <v>300</v>
      </c>
      <c r="M3" s="1" t="str">
        <f t="shared" ref="M3:M7" si="7">IF(C3&gt;=PERCENTILE($C$2:$C$7,0.75),"High Performer","Low Performer")</f>
        <v>Low Performer</v>
      </c>
    </row>
    <row r="4" spans="1:13" x14ac:dyDescent="0.3">
      <c r="A4" s="1">
        <v>103</v>
      </c>
      <c r="B4" s="1" t="s">
        <v>17</v>
      </c>
      <c r="C4" s="1">
        <v>200</v>
      </c>
      <c r="D4" s="1">
        <v>200</v>
      </c>
      <c r="E4" s="1" t="s">
        <v>18</v>
      </c>
      <c r="F4" s="1" t="str">
        <f t="shared" si="0"/>
        <v>Target Met</v>
      </c>
      <c r="G4" s="1" t="str">
        <f t="shared" si="4"/>
        <v>Not Eligible</v>
      </c>
      <c r="H4" s="1">
        <f t="shared" si="5"/>
        <v>0.1</v>
      </c>
      <c r="I4" s="1">
        <f t="shared" si="1"/>
        <v>20</v>
      </c>
      <c r="J4" s="1" t="str">
        <f t="shared" si="2"/>
        <v>Excellent</v>
      </c>
      <c r="K4" s="1" t="str">
        <f t="shared" si="3"/>
        <v>Medium</v>
      </c>
      <c r="L4" s="1">
        <f t="shared" si="6"/>
        <v>300</v>
      </c>
      <c r="M4" s="1" t="str">
        <f t="shared" si="7"/>
        <v>High Performer</v>
      </c>
    </row>
    <row r="5" spans="1:13" x14ac:dyDescent="0.3">
      <c r="A5" s="1">
        <v>104</v>
      </c>
      <c r="B5" s="1" t="s">
        <v>19</v>
      </c>
      <c r="C5" s="1">
        <v>90</v>
      </c>
      <c r="D5" s="1">
        <v>100</v>
      </c>
      <c r="E5" s="1" t="s">
        <v>20</v>
      </c>
      <c r="F5" s="1" t="str">
        <f t="shared" si="0"/>
        <v>Target Not Met</v>
      </c>
      <c r="G5" s="1" t="str">
        <f t="shared" si="4"/>
        <v>Not Eligible</v>
      </c>
      <c r="H5" s="1">
        <f t="shared" si="5"/>
        <v>0.05</v>
      </c>
      <c r="I5" s="1">
        <f t="shared" si="1"/>
        <v>4.5</v>
      </c>
      <c r="J5" s="1" t="str">
        <f t="shared" si="2"/>
        <v>Needs Improvement</v>
      </c>
      <c r="K5" s="1" t="str">
        <f t="shared" si="3"/>
        <v>Low</v>
      </c>
      <c r="L5" s="1">
        <f t="shared" si="6"/>
        <v>300</v>
      </c>
      <c r="M5" s="1" t="str">
        <f t="shared" si="7"/>
        <v>Low Performer</v>
      </c>
    </row>
    <row r="6" spans="1:13" x14ac:dyDescent="0.3">
      <c r="A6" s="1">
        <v>105</v>
      </c>
      <c r="B6" s="1" t="s">
        <v>21</v>
      </c>
      <c r="C6" s="1">
        <v>220</v>
      </c>
      <c r="D6" s="1">
        <v>210</v>
      </c>
      <c r="E6" s="1" t="s">
        <v>14</v>
      </c>
      <c r="F6" s="1" t="str">
        <f t="shared" si="0"/>
        <v>Target Met</v>
      </c>
      <c r="G6" s="1" t="str">
        <f t="shared" si="4"/>
        <v>Eligible</v>
      </c>
      <c r="H6" s="1">
        <f t="shared" si="5"/>
        <v>0.1</v>
      </c>
      <c r="I6" s="1">
        <f t="shared" si="1"/>
        <v>22</v>
      </c>
      <c r="J6" s="1" t="str">
        <f t="shared" si="2"/>
        <v>Excellent</v>
      </c>
      <c r="K6" s="1" t="str">
        <f t="shared" si="3"/>
        <v>High</v>
      </c>
      <c r="L6" s="1">
        <f t="shared" si="6"/>
        <v>500</v>
      </c>
      <c r="M6" s="1" t="str">
        <f t="shared" si="7"/>
        <v>High Performer</v>
      </c>
    </row>
    <row r="7" spans="1:13" x14ac:dyDescent="0.3">
      <c r="A7" s="1">
        <v>106</v>
      </c>
      <c r="B7" s="1" t="s">
        <v>22</v>
      </c>
      <c r="C7" s="1">
        <v>130</v>
      </c>
      <c r="D7" s="1">
        <v>160</v>
      </c>
      <c r="E7" s="1" t="s">
        <v>16</v>
      </c>
      <c r="F7" s="1" t="str">
        <f t="shared" si="0"/>
        <v>Target Not Met</v>
      </c>
      <c r="G7" s="1" t="str">
        <f t="shared" si="4"/>
        <v>Not Eligible</v>
      </c>
      <c r="H7" s="1">
        <f t="shared" si="5"/>
        <v>0.05</v>
      </c>
      <c r="I7" s="1">
        <f t="shared" si="1"/>
        <v>6.5</v>
      </c>
      <c r="J7" s="1" t="str">
        <f t="shared" si="2"/>
        <v>Needs Improvement</v>
      </c>
      <c r="K7" s="1" t="str">
        <f t="shared" si="3"/>
        <v>Medium</v>
      </c>
      <c r="L7" s="1">
        <f t="shared" si="6"/>
        <v>300</v>
      </c>
      <c r="M7" s="1" t="str">
        <f t="shared" si="7"/>
        <v>Low Performer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Sakrajit Das</cp:lastModifiedBy>
  <dcterms:created xsi:type="dcterms:W3CDTF">2026-02-24T06:05:57Z</dcterms:created>
  <dcterms:modified xsi:type="dcterms:W3CDTF">2026-02-25T05:15:29Z</dcterms:modified>
</cp:coreProperties>
</file>